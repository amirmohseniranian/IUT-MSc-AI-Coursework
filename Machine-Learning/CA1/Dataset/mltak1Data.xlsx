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تحقیق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5" i="2"/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C16" i="1" s="1"/>
  <c r="B16" i="1" s="1"/>
  <c r="D23" i="2"/>
  <c r="C17" i="1" s="1"/>
  <c r="B17" i="1" s="1"/>
  <c r="D24" i="2"/>
  <c r="C18" i="1" s="1"/>
  <c r="B18" i="1" s="1"/>
  <c r="D25" i="2"/>
  <c r="D26" i="2"/>
  <c r="C20" i="1" s="1"/>
  <c r="B20" i="1" s="1"/>
  <c r="D27" i="2"/>
  <c r="B21" i="1" s="1"/>
  <c r="D28" i="2"/>
  <c r="C22" i="1" s="1"/>
  <c r="B22" i="1" s="1"/>
  <c r="D29" i="2"/>
  <c r="D5" i="2"/>
  <c r="D3" i="2"/>
  <c r="C14" i="1" l="1"/>
  <c r="B14" i="1" s="1"/>
  <c r="C6" i="1"/>
  <c r="B6" i="1" s="1"/>
  <c r="C13" i="1"/>
  <c r="B13" i="1" s="1"/>
  <c r="C8" i="1"/>
  <c r="B8" i="1" s="1"/>
  <c r="C7" i="1"/>
  <c r="B7" i="1" s="1"/>
  <c r="C11" i="1"/>
  <c r="B11" i="1" s="1"/>
  <c r="C5" i="1"/>
  <c r="B5" i="1" s="1"/>
  <c r="C2" i="1"/>
  <c r="B2" i="1" s="1"/>
  <c r="C3" i="1"/>
  <c r="B3" i="1" s="1"/>
  <c r="C9" i="1"/>
  <c r="B9" i="1" s="1"/>
  <c r="C12" i="1"/>
  <c r="B12" i="1" s="1"/>
  <c r="C10" i="1"/>
  <c r="B10" i="1" s="1"/>
  <c r="C4" i="1"/>
  <c r="B4" i="1" s="1"/>
  <c r="C15" i="1"/>
  <c r="B15" i="1" s="1"/>
</calcChain>
</file>

<file path=xl/sharedStrings.xml><?xml version="1.0" encoding="utf-8"?>
<sst xmlns="http://schemas.openxmlformats.org/spreadsheetml/2006/main" count="152" uniqueCount="134">
  <si>
    <t>ردیف</t>
  </si>
  <si>
    <t>نام خانوادگی</t>
  </si>
  <si>
    <t>نام</t>
  </si>
  <si>
    <t>شماره دانشجوئی</t>
  </si>
  <si>
    <t>آقائی</t>
  </si>
  <si>
    <t>ایرانی دوست</t>
  </si>
  <si>
    <t>برزانی مفرد</t>
  </si>
  <si>
    <t>پری زنگنه</t>
  </si>
  <si>
    <t>پورفرزاد</t>
  </si>
  <si>
    <t>تیموری</t>
  </si>
  <si>
    <t>جعفری زاده دهاقانی</t>
  </si>
  <si>
    <t>جهانگیری</t>
  </si>
  <si>
    <t>حاجیان</t>
  </si>
  <si>
    <t>حاجی باقری فروشانی</t>
  </si>
  <si>
    <t>حاجی حیدری</t>
  </si>
  <si>
    <t>خسروی</t>
  </si>
  <si>
    <t>درخشان</t>
  </si>
  <si>
    <t>رضوانی</t>
  </si>
  <si>
    <t>زمانی دادانه</t>
  </si>
  <si>
    <t>قربانی کهریزسنگی</t>
  </si>
  <si>
    <t>قطب الدینی قاسم اباد</t>
  </si>
  <si>
    <t>قنبری</t>
  </si>
  <si>
    <t>کریمی</t>
  </si>
  <si>
    <t>گیوکاشی</t>
  </si>
  <si>
    <t>محمودی</t>
  </si>
  <si>
    <t>منافی سلطان احمدی</t>
  </si>
  <si>
    <t>هادی پورهفشجانی</t>
  </si>
  <si>
    <t>هلاکو</t>
  </si>
  <si>
    <t>زینب</t>
  </si>
  <si>
    <t>علی</t>
  </si>
  <si>
    <t>حمیدرضا</t>
  </si>
  <si>
    <t>ارزو</t>
  </si>
  <si>
    <t>مسعود</t>
  </si>
  <si>
    <t>فائزه</t>
  </si>
  <si>
    <t>ازاده</t>
  </si>
  <si>
    <t>عارف</t>
  </si>
  <si>
    <t>عاطفه</t>
  </si>
  <si>
    <t>ایمانه</t>
  </si>
  <si>
    <t>میثم</t>
  </si>
  <si>
    <t>محمدرضا</t>
  </si>
  <si>
    <t>سیدسجاد</t>
  </si>
  <si>
    <t>ملیکا</t>
  </si>
  <si>
    <t>عرفان</t>
  </si>
  <si>
    <t>مصطفی</t>
  </si>
  <si>
    <t>فرزانه</t>
  </si>
  <si>
    <t>حامد</t>
  </si>
  <si>
    <t>علیرضا</t>
  </si>
  <si>
    <t>محمدحسین</t>
  </si>
  <si>
    <t>سیدکامبیز</t>
  </si>
  <si>
    <t>امین</t>
  </si>
  <si>
    <t>مهشید</t>
  </si>
  <si>
    <t>نگار</t>
  </si>
  <si>
    <t>9901665</t>
  </si>
  <si>
    <t>40000165</t>
  </si>
  <si>
    <t>9903175</t>
  </si>
  <si>
    <t>9907554</t>
  </si>
  <si>
    <t>9907644</t>
  </si>
  <si>
    <t>9907884</t>
  </si>
  <si>
    <t>9903525</t>
  </si>
  <si>
    <t>9908264</t>
  </si>
  <si>
    <t>9908484</t>
  </si>
  <si>
    <t>9908414</t>
  </si>
  <si>
    <t>9908444</t>
  </si>
  <si>
    <t>9909144</t>
  </si>
  <si>
    <t>9909514</t>
  </si>
  <si>
    <t>9910264</t>
  </si>
  <si>
    <t>9910574</t>
  </si>
  <si>
    <t>9913874</t>
  </si>
  <si>
    <t>9904595</t>
  </si>
  <si>
    <t>9904635</t>
  </si>
  <si>
    <t>40001445</t>
  </si>
  <si>
    <t>9933454</t>
  </si>
  <si>
    <t>9904825</t>
  </si>
  <si>
    <t>9915864</t>
  </si>
  <si>
    <t>9933484</t>
  </si>
  <si>
    <t>9917304</t>
  </si>
  <si>
    <t>تست</t>
  </si>
  <si>
    <t>ارائه شفاهی</t>
  </si>
  <si>
    <t>خ</t>
  </si>
  <si>
    <t>چکیده</t>
  </si>
  <si>
    <t>فهرست</t>
  </si>
  <si>
    <t>معرفی در مقدمه</t>
  </si>
  <si>
    <t>قلم مناسب</t>
  </si>
  <si>
    <t>عنوان شکل و جدول</t>
  </si>
  <si>
    <t>رجوع در متن</t>
  </si>
  <si>
    <t>رجوع در شکل و جدول</t>
  </si>
  <si>
    <t>مراجع</t>
  </si>
  <si>
    <t>بخش بندی و شماره گذاری مناسب</t>
  </si>
  <si>
    <t>فرمولها</t>
  </si>
  <si>
    <t>جمع گزارش</t>
  </si>
  <si>
    <t>نتیجه گیری</t>
  </si>
  <si>
    <t>خ+</t>
  </si>
  <si>
    <t>خ-</t>
  </si>
  <si>
    <t>م+</t>
  </si>
  <si>
    <t>م</t>
  </si>
  <si>
    <t>م-</t>
  </si>
  <si>
    <t>نمره کل گزارش</t>
  </si>
  <si>
    <t>نمره به دیگران</t>
  </si>
  <si>
    <t>عنوان</t>
  </si>
  <si>
    <t>صفحه بندی، پاراگراف بندی، و متن مناسب</t>
  </si>
  <si>
    <t>تأخير</t>
  </si>
  <si>
    <t>دانشجوی 1</t>
  </si>
  <si>
    <t>دانشجوی 2</t>
  </si>
  <si>
    <t>دانشجوی 3</t>
  </si>
  <si>
    <t>دانشجوی 4</t>
  </si>
  <si>
    <t>دانشجوی 5</t>
  </si>
  <si>
    <t>دانشجوی 6</t>
  </si>
  <si>
    <t>دانشجوی 7</t>
  </si>
  <si>
    <t>دانشجوی 8</t>
  </si>
  <si>
    <t>دانشجوی 9</t>
  </si>
  <si>
    <t>دانشجوی 10</t>
  </si>
  <si>
    <t>دانشجوی 11</t>
  </si>
  <si>
    <t>دانشجوی 12</t>
  </si>
  <si>
    <t>دانشجوی 13</t>
  </si>
  <si>
    <t>دانشجوی 14</t>
  </si>
  <si>
    <t>دانشجوی 15</t>
  </si>
  <si>
    <t>دانشجوی 16</t>
  </si>
  <si>
    <t>دانشجوی 17</t>
  </si>
  <si>
    <t>دانشجوی 18</t>
  </si>
  <si>
    <t>دانشجوی 19</t>
  </si>
  <si>
    <t>دانشجوی 20</t>
  </si>
  <si>
    <t>دانشجوی 21</t>
  </si>
  <si>
    <t>total</t>
  </si>
  <si>
    <t>search</t>
  </si>
  <si>
    <t>tak3</t>
  </si>
  <si>
    <t>tak2</t>
  </si>
  <si>
    <t>tak1</t>
  </si>
  <si>
    <t>final</t>
  </si>
  <si>
    <t>midterm</t>
  </si>
  <si>
    <t>name</t>
  </si>
  <si>
    <t>pass</t>
  </si>
  <si>
    <t>yes</t>
  </si>
  <si>
    <t>no</t>
  </si>
  <si>
    <t>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</si>
</sst>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A23" sqref="A23"/>
    </sheetView>
  </sheetViews>
  <sheetFormatPr defaultRowHeight="13.8" x14ac:dyDescent="0.25"/>
  <sheetData>
    <row r="1" spans="1:9" x14ac:dyDescent="0.25">
      <c r="A1" t="s">
        <v>130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x14ac:dyDescent="0.25">
      <c r="A2" t="s">
        <v>131</v>
      </c>
      <c r="B2" s="3">
        <f t="shared" ref="B2:B22" si="0">H2*6/10+G2*6/10+(F2+E2+D2)*5/60+C2*3/20</f>
        <v>16.610416666666666</v>
      </c>
      <c r="C2" s="3">
        <f>تحقیق!A5</f>
        <v>17.625</v>
      </c>
      <c r="D2" s="3">
        <v>15.5</v>
      </c>
      <c r="E2" s="3">
        <v>18.600000000000001</v>
      </c>
      <c r="F2" s="3">
        <v>16.5</v>
      </c>
      <c r="G2" s="3">
        <v>8.75</v>
      </c>
      <c r="H2" s="3">
        <v>7.5</v>
      </c>
      <c r="I2" t="s">
        <v>101</v>
      </c>
    </row>
    <row r="3" spans="1:9" x14ac:dyDescent="0.25">
      <c r="A3" t="s">
        <v>131</v>
      </c>
      <c r="B3" s="3">
        <f t="shared" si="0"/>
        <v>13.412083333333335</v>
      </c>
      <c r="C3" s="3">
        <f>تحقیق!A6</f>
        <v>19.524999999999999</v>
      </c>
      <c r="D3" s="3">
        <v>17.5</v>
      </c>
      <c r="E3" s="3">
        <v>16.5</v>
      </c>
      <c r="F3" s="3">
        <v>0</v>
      </c>
      <c r="G3" s="3">
        <v>6.5</v>
      </c>
      <c r="H3" s="3">
        <v>6.25</v>
      </c>
      <c r="I3" t="s">
        <v>102</v>
      </c>
    </row>
    <row r="4" spans="1:9" x14ac:dyDescent="0.25">
      <c r="A4" t="s">
        <v>132</v>
      </c>
      <c r="B4" s="3">
        <f t="shared" si="0"/>
        <v>10.91625</v>
      </c>
      <c r="C4" s="3">
        <f>تحقیق!A7</f>
        <v>13.774999999999999</v>
      </c>
      <c r="D4" s="3">
        <v>8.5</v>
      </c>
      <c r="E4" s="3">
        <v>17.5</v>
      </c>
      <c r="F4" s="3">
        <v>10</v>
      </c>
      <c r="G4" s="3">
        <v>5.75</v>
      </c>
      <c r="H4" s="3">
        <v>4</v>
      </c>
      <c r="I4" t="s">
        <v>103</v>
      </c>
    </row>
    <row r="5" spans="1:9" x14ac:dyDescent="0.25">
      <c r="A5" t="s">
        <v>131</v>
      </c>
      <c r="B5" s="3">
        <f t="shared" si="0"/>
        <v>15.215</v>
      </c>
      <c r="C5" s="3">
        <f>تحقیق!A8</f>
        <v>18.100000000000001</v>
      </c>
      <c r="D5" s="3">
        <v>20</v>
      </c>
      <c r="E5" s="3">
        <v>20</v>
      </c>
      <c r="F5" s="3">
        <v>20</v>
      </c>
      <c r="G5" s="3">
        <v>7.5</v>
      </c>
      <c r="H5" s="3">
        <v>5</v>
      </c>
      <c r="I5" t="s">
        <v>104</v>
      </c>
    </row>
    <row r="6" spans="1:9" x14ac:dyDescent="0.25">
      <c r="A6" t="s">
        <v>131</v>
      </c>
      <c r="B6" s="3">
        <f t="shared" si="0"/>
        <v>16.661249999999999</v>
      </c>
      <c r="C6" s="3">
        <f>تحقیق!A9</f>
        <v>18.574999999999999</v>
      </c>
      <c r="D6" s="3">
        <v>20</v>
      </c>
      <c r="E6" s="3">
        <v>20.5</v>
      </c>
      <c r="F6" s="3">
        <v>18</v>
      </c>
      <c r="G6" s="3">
        <v>6.25</v>
      </c>
      <c r="H6" s="3">
        <v>8.75</v>
      </c>
      <c r="I6" t="s">
        <v>105</v>
      </c>
    </row>
    <row r="7" spans="1:9" x14ac:dyDescent="0.25">
      <c r="A7" t="s">
        <v>131</v>
      </c>
      <c r="B7" s="3">
        <f t="shared" si="0"/>
        <v>17.672708333333333</v>
      </c>
      <c r="C7" s="3">
        <f>تحقیق!A10</f>
        <v>13.762499999999999</v>
      </c>
      <c r="D7" s="3">
        <v>18.5</v>
      </c>
      <c r="E7" s="3">
        <v>19.2</v>
      </c>
      <c r="F7" s="3">
        <v>14.6</v>
      </c>
      <c r="G7" s="3">
        <v>8.75</v>
      </c>
      <c r="H7" s="3">
        <v>10</v>
      </c>
      <c r="I7" t="s">
        <v>106</v>
      </c>
    </row>
    <row r="8" spans="1:9" x14ac:dyDescent="0.25">
      <c r="A8" t="s">
        <v>131</v>
      </c>
      <c r="B8" s="3">
        <f t="shared" si="0"/>
        <v>14.644270833333334</v>
      </c>
      <c r="C8" s="3">
        <f>تحقیق!A11</f>
        <v>17.40625</v>
      </c>
      <c r="D8" s="3">
        <v>20.5</v>
      </c>
      <c r="E8" s="3">
        <v>15</v>
      </c>
      <c r="F8" s="3">
        <v>13.5</v>
      </c>
      <c r="G8" s="3">
        <v>7</v>
      </c>
      <c r="H8" s="3">
        <v>6.25</v>
      </c>
      <c r="I8" t="s">
        <v>107</v>
      </c>
    </row>
    <row r="9" spans="1:9" x14ac:dyDescent="0.25">
      <c r="A9" t="s">
        <v>131</v>
      </c>
      <c r="B9" s="3">
        <f t="shared" si="0"/>
        <v>18.786562499999999</v>
      </c>
      <c r="C9" s="3">
        <f>تحقیق!A13</f>
        <v>17.743749999999999</v>
      </c>
      <c r="D9" s="3">
        <v>19</v>
      </c>
      <c r="E9" s="3">
        <v>20.5</v>
      </c>
      <c r="F9" s="3">
        <v>19</v>
      </c>
      <c r="G9" s="3">
        <v>8.75</v>
      </c>
      <c r="H9" s="3">
        <v>10</v>
      </c>
      <c r="I9" t="s">
        <v>108</v>
      </c>
    </row>
    <row r="10" spans="1:9" x14ac:dyDescent="0.25">
      <c r="A10" t="s">
        <v>131</v>
      </c>
      <c r="B10" s="3">
        <f t="shared" si="0"/>
        <v>16.303750000000001</v>
      </c>
      <c r="C10" s="3">
        <f>تحقیق!A15</f>
        <v>17.625</v>
      </c>
      <c r="D10" s="3">
        <v>18</v>
      </c>
      <c r="E10" s="3">
        <v>20</v>
      </c>
      <c r="F10" s="3">
        <v>19</v>
      </c>
      <c r="G10" s="3">
        <v>8.75</v>
      </c>
      <c r="H10" s="3">
        <v>6.1</v>
      </c>
      <c r="I10" t="s">
        <v>109</v>
      </c>
    </row>
    <row r="11" spans="1:9" x14ac:dyDescent="0.25">
      <c r="A11" t="s">
        <v>131</v>
      </c>
      <c r="B11" s="3">
        <f t="shared" si="0"/>
        <v>14.539791666666666</v>
      </c>
      <c r="C11" s="3">
        <f>تحقیق!A16</f>
        <v>18.287500000000001</v>
      </c>
      <c r="D11" s="3">
        <v>19.5</v>
      </c>
      <c r="E11" s="3">
        <v>20</v>
      </c>
      <c r="F11" s="3">
        <v>17.100000000000001</v>
      </c>
      <c r="G11" s="3">
        <v>4.3</v>
      </c>
      <c r="H11" s="3">
        <v>7.5</v>
      </c>
      <c r="I11" t="s">
        <v>110</v>
      </c>
    </row>
    <row r="12" spans="1:9" x14ac:dyDescent="0.25">
      <c r="A12" t="s">
        <v>131</v>
      </c>
      <c r="B12" s="3">
        <f t="shared" si="0"/>
        <v>18.398333333333333</v>
      </c>
      <c r="C12" s="3">
        <f>تحقیق!A18</f>
        <v>18.100000000000001</v>
      </c>
      <c r="D12" s="3">
        <v>17</v>
      </c>
      <c r="E12" s="3">
        <v>18.5</v>
      </c>
      <c r="F12" s="3">
        <v>17.7</v>
      </c>
      <c r="G12" s="3">
        <v>8.75</v>
      </c>
      <c r="H12" s="3">
        <v>10</v>
      </c>
      <c r="I12" t="s">
        <v>111</v>
      </c>
    </row>
    <row r="13" spans="1:9" x14ac:dyDescent="0.25">
      <c r="A13" t="s">
        <v>131</v>
      </c>
      <c r="B13" s="3">
        <f t="shared" si="0"/>
        <v>13.866458333333332</v>
      </c>
      <c r="C13" s="3">
        <f>تحقیق!A19</f>
        <v>17.387499999999999</v>
      </c>
      <c r="D13" s="3">
        <v>12</v>
      </c>
      <c r="E13" s="3">
        <v>19.5</v>
      </c>
      <c r="F13" s="3">
        <v>19</v>
      </c>
      <c r="G13" s="3">
        <v>3</v>
      </c>
      <c r="H13" s="3">
        <v>8.75</v>
      </c>
      <c r="I13" t="s">
        <v>112</v>
      </c>
    </row>
    <row r="14" spans="1:9" x14ac:dyDescent="0.25">
      <c r="A14" t="s">
        <v>131</v>
      </c>
      <c r="B14" s="3">
        <f t="shared" si="0"/>
        <v>13.879375</v>
      </c>
      <c r="C14" s="3">
        <f>تحقیق!A20</f>
        <v>15.862499999999999</v>
      </c>
      <c r="D14" s="3">
        <v>1</v>
      </c>
      <c r="E14" s="3">
        <v>15</v>
      </c>
      <c r="F14" s="3">
        <v>14</v>
      </c>
      <c r="G14" s="3">
        <v>8.75</v>
      </c>
      <c r="H14" s="3">
        <v>6.25</v>
      </c>
      <c r="I14" t="s">
        <v>113</v>
      </c>
    </row>
    <row r="15" spans="1:9" x14ac:dyDescent="0.25">
      <c r="A15" t="s">
        <v>131</v>
      </c>
      <c r="B15" s="3">
        <f t="shared" si="0"/>
        <v>14.736375000000001</v>
      </c>
      <c r="C15" s="3">
        <f>تحقیق!A21</f>
        <v>5.7424999999999997</v>
      </c>
      <c r="D15" s="3">
        <v>11</v>
      </c>
      <c r="E15" s="3">
        <v>20.5</v>
      </c>
      <c r="F15" s="3">
        <v>18</v>
      </c>
      <c r="G15" s="3">
        <v>7.5</v>
      </c>
      <c r="H15" s="3">
        <v>8.75</v>
      </c>
      <c r="I15" t="s">
        <v>114</v>
      </c>
    </row>
    <row r="16" spans="1:9" x14ac:dyDescent="0.25">
      <c r="A16" t="s">
        <v>132</v>
      </c>
      <c r="B16" s="3">
        <f t="shared" si="0"/>
        <v>11.390416666666667</v>
      </c>
      <c r="C16" s="3">
        <f>تحقیق!A22</f>
        <v>11.825000000000001</v>
      </c>
      <c r="D16" s="3">
        <v>9</v>
      </c>
      <c r="E16" s="3">
        <v>20</v>
      </c>
      <c r="F16" s="3">
        <v>18</v>
      </c>
      <c r="G16" s="3">
        <v>5</v>
      </c>
      <c r="H16" s="3">
        <v>4.5</v>
      </c>
      <c r="I16" t="s">
        <v>115</v>
      </c>
    </row>
    <row r="17" spans="1:9" x14ac:dyDescent="0.25">
      <c r="A17" t="s">
        <v>131</v>
      </c>
      <c r="B17" s="3">
        <f t="shared" si="0"/>
        <v>17.934166666666666</v>
      </c>
      <c r="C17" s="3">
        <f>تحقیق!A23</f>
        <v>16.45</v>
      </c>
      <c r="D17" s="3">
        <v>19.5</v>
      </c>
      <c r="E17" s="3">
        <v>22.3</v>
      </c>
      <c r="F17" s="3">
        <v>17.8</v>
      </c>
      <c r="G17" s="3">
        <v>8.75</v>
      </c>
      <c r="H17" s="3">
        <v>8.75</v>
      </c>
      <c r="I17" t="s">
        <v>116</v>
      </c>
    </row>
    <row r="18" spans="1:9" x14ac:dyDescent="0.25">
      <c r="A18" t="s">
        <v>133</v>
      </c>
      <c r="B18" s="3">
        <f t="shared" si="0"/>
        <v>18.206875</v>
      </c>
      <c r="C18" s="3">
        <f>تحقیق!A24</f>
        <v>18.712499999999999</v>
      </c>
      <c r="D18" s="3">
        <v>19</v>
      </c>
      <c r="E18" s="3">
        <v>20</v>
      </c>
      <c r="F18" s="3">
        <v>18</v>
      </c>
      <c r="G18" s="3">
        <v>7.75</v>
      </c>
      <c r="H18" s="3">
        <v>10</v>
      </c>
      <c r="I18" t="s">
        <v>117</v>
      </c>
    </row>
    <row r="19" spans="1:9" x14ac:dyDescent="0.25">
      <c r="A19" t="s">
        <v>132</v>
      </c>
      <c r="B19" s="3">
        <f t="shared" si="0"/>
        <v>6.7733333333333343</v>
      </c>
      <c r="C19" s="3">
        <v>0</v>
      </c>
      <c r="D19" s="3">
        <v>0</v>
      </c>
      <c r="E19" s="3">
        <v>19.5</v>
      </c>
      <c r="F19" s="3">
        <v>17.5</v>
      </c>
      <c r="G19" s="3">
        <v>0.75</v>
      </c>
      <c r="H19" s="3">
        <v>5.4</v>
      </c>
      <c r="I19" t="s">
        <v>118</v>
      </c>
    </row>
    <row r="20" spans="1:9" x14ac:dyDescent="0.25">
      <c r="A20" t="s">
        <v>131</v>
      </c>
      <c r="B20" s="3">
        <f t="shared" si="0"/>
        <v>18.469583333333333</v>
      </c>
      <c r="C20" s="3">
        <f>تحقیق!A26</f>
        <v>18.575000000000003</v>
      </c>
      <c r="D20" s="3">
        <v>16</v>
      </c>
      <c r="E20" s="3">
        <v>19.5</v>
      </c>
      <c r="F20" s="3">
        <v>17.7</v>
      </c>
      <c r="G20" s="3">
        <v>8.75</v>
      </c>
      <c r="H20" s="3">
        <v>10</v>
      </c>
      <c r="I20" t="s">
        <v>119</v>
      </c>
    </row>
    <row r="21" spans="1:9" x14ac:dyDescent="0.25">
      <c r="A21" t="s">
        <v>132</v>
      </c>
      <c r="B21" s="3">
        <f t="shared" si="0"/>
        <v>11.286666666666669</v>
      </c>
      <c r="C21" s="3">
        <v>17</v>
      </c>
      <c r="D21" s="3">
        <v>15</v>
      </c>
      <c r="E21" s="3">
        <v>18</v>
      </c>
      <c r="F21" s="3">
        <v>20</v>
      </c>
      <c r="G21" s="3">
        <v>2.2000000000000002</v>
      </c>
      <c r="H21" s="3">
        <v>5</v>
      </c>
      <c r="I21" t="s">
        <v>120</v>
      </c>
    </row>
    <row r="22" spans="1:9" x14ac:dyDescent="0.25">
      <c r="A22" t="s">
        <v>131</v>
      </c>
      <c r="B22" s="3">
        <f t="shared" si="0"/>
        <v>13.615</v>
      </c>
      <c r="C22" s="3">
        <f>تحقیق!A28</f>
        <v>18.100000000000001</v>
      </c>
      <c r="D22" s="3">
        <v>12</v>
      </c>
      <c r="E22" s="3">
        <v>20.5</v>
      </c>
      <c r="F22" s="3">
        <v>15.5</v>
      </c>
      <c r="G22" s="3">
        <v>6.75</v>
      </c>
      <c r="H22" s="3">
        <v>4.75</v>
      </c>
      <c r="I22" t="s">
        <v>121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40"/>
  <sheetViews>
    <sheetView topLeftCell="A7" workbookViewId="0">
      <selection activeCell="Q22" sqref="Q22"/>
    </sheetView>
  </sheetViews>
  <sheetFormatPr defaultRowHeight="13.8" x14ac:dyDescent="0.25"/>
  <cols>
    <col min="4" max="4" width="8.796875" customWidth="1"/>
    <col min="5" max="5" width="6.5" customWidth="1"/>
    <col min="6" max="6" width="5.8984375" customWidth="1"/>
    <col min="7" max="7" width="8.19921875" customWidth="1"/>
    <col min="8" max="8" width="5.796875" customWidth="1"/>
    <col min="9" max="9" width="8.09765625" customWidth="1"/>
    <col min="10" max="12" width="8.796875" customWidth="1"/>
    <col min="13" max="13" width="6.69921875" customWidth="1"/>
    <col min="14" max="14" width="7.296875" customWidth="1"/>
    <col min="15" max="15" width="5.796875" customWidth="1"/>
    <col min="16" max="16" width="5" customWidth="1"/>
    <col min="17" max="17" width="5.796875" customWidth="1"/>
    <col min="18" max="18" width="7.8984375" customWidth="1"/>
    <col min="20" max="20" width="7.09765625" customWidth="1"/>
    <col min="22" max="22" width="6.19921875" customWidth="1"/>
  </cols>
  <sheetData>
    <row r="3" spans="1:22" x14ac:dyDescent="0.25">
      <c r="D3">
        <f>SUM(E3:Q3)</f>
        <v>20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</row>
    <row r="4" spans="1:22" x14ac:dyDescent="0.25">
      <c r="A4" t="s">
        <v>96</v>
      </c>
      <c r="B4" t="s">
        <v>100</v>
      </c>
      <c r="C4" t="s">
        <v>97</v>
      </c>
      <c r="D4" t="s">
        <v>89</v>
      </c>
      <c r="E4" t="s">
        <v>90</v>
      </c>
      <c r="F4" t="s">
        <v>88</v>
      </c>
      <c r="G4" t="s">
        <v>87</v>
      </c>
      <c r="H4" t="s">
        <v>86</v>
      </c>
      <c r="I4" t="s">
        <v>85</v>
      </c>
      <c r="J4" t="s">
        <v>84</v>
      </c>
      <c r="K4" t="s">
        <v>83</v>
      </c>
      <c r="L4" t="s">
        <v>99</v>
      </c>
      <c r="M4" t="s">
        <v>82</v>
      </c>
      <c r="N4" t="s">
        <v>81</v>
      </c>
      <c r="O4" t="s">
        <v>80</v>
      </c>
      <c r="P4" t="s">
        <v>79</v>
      </c>
      <c r="Q4" t="s">
        <v>98</v>
      </c>
      <c r="R4" t="s">
        <v>77</v>
      </c>
      <c r="S4" t="s">
        <v>3</v>
      </c>
      <c r="T4" t="s">
        <v>2</v>
      </c>
      <c r="U4" t="s">
        <v>1</v>
      </c>
      <c r="V4" t="s">
        <v>0</v>
      </c>
    </row>
    <row r="5" spans="1:22" x14ac:dyDescent="0.25">
      <c r="A5">
        <f>R5*9.5/20+D5*9.5/20+C5/10+B5</f>
        <v>17.625</v>
      </c>
      <c r="C5">
        <v>10</v>
      </c>
      <c r="D5">
        <f>SUM(E5:Q5)</f>
        <v>17</v>
      </c>
      <c r="E5">
        <v>1</v>
      </c>
      <c r="F5">
        <v>1</v>
      </c>
      <c r="G5">
        <v>1</v>
      </c>
      <c r="H5">
        <v>2</v>
      </c>
      <c r="I5">
        <v>0</v>
      </c>
      <c r="J5">
        <v>2</v>
      </c>
      <c r="K5">
        <v>2</v>
      </c>
      <c r="L5">
        <v>2</v>
      </c>
      <c r="M5">
        <v>1</v>
      </c>
      <c r="N5">
        <v>2</v>
      </c>
      <c r="O5">
        <v>1</v>
      </c>
      <c r="P5">
        <v>1</v>
      </c>
      <c r="Q5">
        <v>1</v>
      </c>
      <c r="R5">
        <v>18</v>
      </c>
      <c r="S5" t="s">
        <v>52</v>
      </c>
      <c r="T5" t="s">
        <v>28</v>
      </c>
      <c r="U5" t="s">
        <v>4</v>
      </c>
      <c r="V5">
        <v>1</v>
      </c>
    </row>
    <row r="6" spans="1:22" x14ac:dyDescent="0.25">
      <c r="A6">
        <f t="shared" ref="A6:A29" si="0">R6*9.5/20+D6*9.5/20+C6/10+B6</f>
        <v>19.524999999999999</v>
      </c>
      <c r="C6">
        <v>10</v>
      </c>
      <c r="D6">
        <f t="shared" ref="D6:D29" si="1">SUM(E6:Q6)</f>
        <v>20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1</v>
      </c>
      <c r="N6">
        <v>2</v>
      </c>
      <c r="O6">
        <v>1</v>
      </c>
      <c r="P6">
        <v>1</v>
      </c>
      <c r="Q6">
        <v>1</v>
      </c>
      <c r="R6">
        <v>19</v>
      </c>
      <c r="S6" t="s">
        <v>53</v>
      </c>
      <c r="T6" t="s">
        <v>29</v>
      </c>
      <c r="U6" t="s">
        <v>5</v>
      </c>
      <c r="V6">
        <v>2</v>
      </c>
    </row>
    <row r="7" spans="1:22" x14ac:dyDescent="0.25">
      <c r="A7">
        <f t="shared" si="0"/>
        <v>13.774999999999999</v>
      </c>
      <c r="D7">
        <f t="shared" si="1"/>
        <v>12</v>
      </c>
      <c r="E7">
        <v>1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17</v>
      </c>
      <c r="S7" t="s">
        <v>54</v>
      </c>
      <c r="T7" t="s">
        <v>30</v>
      </c>
      <c r="U7" t="s">
        <v>6</v>
      </c>
      <c r="V7">
        <v>3</v>
      </c>
    </row>
    <row r="8" spans="1:22" x14ac:dyDescent="0.25">
      <c r="A8">
        <f t="shared" si="0"/>
        <v>18.100000000000001</v>
      </c>
      <c r="C8">
        <v>10</v>
      </c>
      <c r="D8">
        <f t="shared" si="1"/>
        <v>17.5</v>
      </c>
      <c r="E8">
        <v>1</v>
      </c>
      <c r="F8">
        <v>1</v>
      </c>
      <c r="G8">
        <v>2</v>
      </c>
      <c r="H8">
        <v>1.5</v>
      </c>
      <c r="I8">
        <v>2</v>
      </c>
      <c r="J8">
        <v>2</v>
      </c>
      <c r="K8">
        <v>2</v>
      </c>
      <c r="L8">
        <v>2</v>
      </c>
      <c r="M8">
        <v>1</v>
      </c>
      <c r="N8">
        <v>0</v>
      </c>
      <c r="O8">
        <v>1</v>
      </c>
      <c r="P8">
        <v>1</v>
      </c>
      <c r="Q8">
        <v>1</v>
      </c>
      <c r="R8">
        <v>18.5</v>
      </c>
      <c r="S8" t="s">
        <v>55</v>
      </c>
      <c r="T8" t="s">
        <v>31</v>
      </c>
      <c r="U8" t="s">
        <v>7</v>
      </c>
      <c r="V8">
        <v>4</v>
      </c>
    </row>
    <row r="9" spans="1:22" x14ac:dyDescent="0.25">
      <c r="A9">
        <f t="shared" si="0"/>
        <v>18.574999999999999</v>
      </c>
      <c r="C9">
        <v>10</v>
      </c>
      <c r="D9">
        <f t="shared" si="1"/>
        <v>18.5</v>
      </c>
      <c r="E9">
        <v>1</v>
      </c>
      <c r="F9">
        <v>1</v>
      </c>
      <c r="G9">
        <v>1</v>
      </c>
      <c r="H9">
        <v>1.5</v>
      </c>
      <c r="I9">
        <v>2</v>
      </c>
      <c r="J9">
        <v>2</v>
      </c>
      <c r="K9">
        <v>2</v>
      </c>
      <c r="L9">
        <v>2</v>
      </c>
      <c r="M9">
        <v>1</v>
      </c>
      <c r="N9">
        <v>2</v>
      </c>
      <c r="O9">
        <v>1</v>
      </c>
      <c r="P9">
        <v>1</v>
      </c>
      <c r="Q9">
        <v>1</v>
      </c>
      <c r="R9">
        <v>18.5</v>
      </c>
      <c r="S9" t="s">
        <v>56</v>
      </c>
      <c r="T9" t="s">
        <v>32</v>
      </c>
      <c r="U9" t="s">
        <v>8</v>
      </c>
      <c r="V9">
        <v>5</v>
      </c>
    </row>
    <row r="10" spans="1:22" x14ac:dyDescent="0.25">
      <c r="A10">
        <f t="shared" si="0"/>
        <v>13.762499999999999</v>
      </c>
      <c r="C10">
        <v>7</v>
      </c>
      <c r="D10">
        <f t="shared" si="1"/>
        <v>11.5</v>
      </c>
      <c r="E10">
        <v>1</v>
      </c>
      <c r="F10">
        <v>0.5</v>
      </c>
      <c r="G10">
        <v>1</v>
      </c>
      <c r="H10">
        <v>0</v>
      </c>
      <c r="I10">
        <v>2</v>
      </c>
      <c r="J10">
        <v>2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16</v>
      </c>
      <c r="S10" t="s">
        <v>57</v>
      </c>
      <c r="T10" t="s">
        <v>33</v>
      </c>
      <c r="U10" t="s">
        <v>9</v>
      </c>
      <c r="V10">
        <v>6</v>
      </c>
    </row>
    <row r="11" spans="1:22" x14ac:dyDescent="0.25">
      <c r="A11">
        <f t="shared" si="0"/>
        <v>17.40625</v>
      </c>
      <c r="C11">
        <v>9</v>
      </c>
      <c r="D11">
        <f t="shared" si="1"/>
        <v>17</v>
      </c>
      <c r="E11">
        <v>1</v>
      </c>
      <c r="F11">
        <v>1</v>
      </c>
      <c r="G11">
        <v>2</v>
      </c>
      <c r="H11">
        <v>1.5</v>
      </c>
      <c r="I11">
        <v>0</v>
      </c>
      <c r="J11">
        <v>2</v>
      </c>
      <c r="K11">
        <v>2</v>
      </c>
      <c r="L11">
        <v>1.5</v>
      </c>
      <c r="M11">
        <v>1</v>
      </c>
      <c r="N11">
        <v>2</v>
      </c>
      <c r="O11">
        <v>1</v>
      </c>
      <c r="P11">
        <v>1</v>
      </c>
      <c r="Q11">
        <v>1</v>
      </c>
      <c r="R11">
        <v>17.75</v>
      </c>
      <c r="S11" t="s">
        <v>58</v>
      </c>
      <c r="T11" t="s">
        <v>34</v>
      </c>
      <c r="U11" t="s">
        <v>10</v>
      </c>
      <c r="V11">
        <v>7</v>
      </c>
    </row>
    <row r="12" spans="1:22" x14ac:dyDescent="0.25">
      <c r="A12">
        <f t="shared" si="0"/>
        <v>0</v>
      </c>
      <c r="D12">
        <f t="shared" si="1"/>
        <v>0</v>
      </c>
      <c r="S12" t="s">
        <v>59</v>
      </c>
      <c r="T12" s="1" t="s">
        <v>35</v>
      </c>
      <c r="U12" s="1" t="s">
        <v>11</v>
      </c>
      <c r="V12">
        <v>8</v>
      </c>
    </row>
    <row r="13" spans="1:22" x14ac:dyDescent="0.25">
      <c r="A13">
        <f t="shared" si="0"/>
        <v>17.743749999999999</v>
      </c>
      <c r="C13">
        <v>10</v>
      </c>
      <c r="D13">
        <f t="shared" si="1"/>
        <v>17.5</v>
      </c>
      <c r="E13">
        <v>1</v>
      </c>
      <c r="F13">
        <v>1</v>
      </c>
      <c r="G13">
        <v>2</v>
      </c>
      <c r="H13">
        <v>2</v>
      </c>
      <c r="I13">
        <v>0</v>
      </c>
      <c r="J13">
        <v>2</v>
      </c>
      <c r="K13">
        <v>1.5</v>
      </c>
      <c r="L13">
        <v>2</v>
      </c>
      <c r="M13">
        <v>1</v>
      </c>
      <c r="N13">
        <v>2</v>
      </c>
      <c r="O13">
        <v>1</v>
      </c>
      <c r="P13">
        <v>1</v>
      </c>
      <c r="Q13">
        <v>1</v>
      </c>
      <c r="R13">
        <v>17.75</v>
      </c>
      <c r="S13" t="s">
        <v>61</v>
      </c>
      <c r="T13" t="s">
        <v>37</v>
      </c>
      <c r="U13" t="s">
        <v>13</v>
      </c>
      <c r="V13">
        <v>9</v>
      </c>
    </row>
    <row r="14" spans="1:22" x14ac:dyDescent="0.25">
      <c r="A14">
        <f t="shared" si="0"/>
        <v>0</v>
      </c>
      <c r="D14">
        <f t="shared" si="1"/>
        <v>0</v>
      </c>
      <c r="S14" t="s">
        <v>62</v>
      </c>
      <c r="T14" s="1" t="s">
        <v>38</v>
      </c>
      <c r="U14" s="1" t="s">
        <v>14</v>
      </c>
      <c r="V14">
        <v>10</v>
      </c>
    </row>
    <row r="15" spans="1:22" x14ac:dyDescent="0.25">
      <c r="A15">
        <f t="shared" si="0"/>
        <v>17.625</v>
      </c>
      <c r="C15">
        <v>10</v>
      </c>
      <c r="D15">
        <f t="shared" si="1"/>
        <v>16.5</v>
      </c>
      <c r="E15">
        <v>2</v>
      </c>
      <c r="F15">
        <v>1</v>
      </c>
      <c r="G15">
        <v>1</v>
      </c>
      <c r="H15">
        <v>1</v>
      </c>
      <c r="I15">
        <v>0</v>
      </c>
      <c r="J15">
        <v>2</v>
      </c>
      <c r="K15">
        <v>1.5</v>
      </c>
      <c r="L15">
        <v>2</v>
      </c>
      <c r="M15">
        <v>1</v>
      </c>
      <c r="N15">
        <v>2</v>
      </c>
      <c r="O15">
        <v>1</v>
      </c>
      <c r="P15">
        <v>1</v>
      </c>
      <c r="Q15">
        <v>1</v>
      </c>
      <c r="R15">
        <v>18.5</v>
      </c>
      <c r="S15" t="s">
        <v>60</v>
      </c>
      <c r="T15" t="s">
        <v>36</v>
      </c>
      <c r="U15" t="s">
        <v>12</v>
      </c>
      <c r="V15">
        <v>11</v>
      </c>
    </row>
    <row r="16" spans="1:22" x14ac:dyDescent="0.25">
      <c r="A16">
        <f t="shared" si="0"/>
        <v>18.287500000000001</v>
      </c>
      <c r="D16">
        <f t="shared" si="1"/>
        <v>19</v>
      </c>
      <c r="E16">
        <v>1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0.5</v>
      </c>
      <c r="N16">
        <v>2</v>
      </c>
      <c r="O16">
        <v>1</v>
      </c>
      <c r="P16">
        <v>1</v>
      </c>
      <c r="Q16">
        <v>0.5</v>
      </c>
      <c r="R16">
        <v>19.5</v>
      </c>
      <c r="S16" t="s">
        <v>63</v>
      </c>
      <c r="T16" t="s">
        <v>39</v>
      </c>
      <c r="U16" t="s">
        <v>15</v>
      </c>
      <c r="V16">
        <v>12</v>
      </c>
    </row>
    <row r="17" spans="1:22" x14ac:dyDescent="0.25">
      <c r="A17">
        <f t="shared" si="0"/>
        <v>0</v>
      </c>
      <c r="D17">
        <f t="shared" si="1"/>
        <v>0</v>
      </c>
      <c r="S17" t="s">
        <v>64</v>
      </c>
      <c r="T17" s="1" t="s">
        <v>40</v>
      </c>
      <c r="U17" s="1" t="s">
        <v>16</v>
      </c>
      <c r="V17">
        <v>13</v>
      </c>
    </row>
    <row r="18" spans="1:22" x14ac:dyDescent="0.25">
      <c r="A18">
        <f t="shared" si="0"/>
        <v>18.100000000000001</v>
      </c>
      <c r="C18">
        <v>10</v>
      </c>
      <c r="D18">
        <f t="shared" si="1"/>
        <v>17</v>
      </c>
      <c r="E18">
        <v>1</v>
      </c>
      <c r="F18">
        <v>1</v>
      </c>
      <c r="G18">
        <v>2</v>
      </c>
      <c r="H18">
        <v>2</v>
      </c>
      <c r="I18">
        <v>0</v>
      </c>
      <c r="J18">
        <v>2</v>
      </c>
      <c r="K18">
        <v>1</v>
      </c>
      <c r="L18">
        <v>2</v>
      </c>
      <c r="M18">
        <v>1</v>
      </c>
      <c r="N18">
        <v>2</v>
      </c>
      <c r="O18">
        <v>1</v>
      </c>
      <c r="P18">
        <v>1</v>
      </c>
      <c r="Q18">
        <v>1</v>
      </c>
      <c r="R18">
        <v>19</v>
      </c>
      <c r="S18" t="s">
        <v>65</v>
      </c>
      <c r="T18" t="s">
        <v>41</v>
      </c>
      <c r="U18" t="s">
        <v>17</v>
      </c>
      <c r="V18">
        <v>14</v>
      </c>
    </row>
    <row r="19" spans="1:22" x14ac:dyDescent="0.25">
      <c r="A19">
        <f t="shared" si="0"/>
        <v>17.387499999999999</v>
      </c>
      <c r="C19">
        <v>10</v>
      </c>
      <c r="D19">
        <f t="shared" si="1"/>
        <v>17</v>
      </c>
      <c r="E19">
        <v>1</v>
      </c>
      <c r="F19">
        <v>1</v>
      </c>
      <c r="G19">
        <v>2</v>
      </c>
      <c r="H19">
        <v>2</v>
      </c>
      <c r="I19">
        <v>0</v>
      </c>
      <c r="J19">
        <v>2</v>
      </c>
      <c r="K19">
        <v>2</v>
      </c>
      <c r="L19">
        <v>1</v>
      </c>
      <c r="M19">
        <v>1</v>
      </c>
      <c r="N19">
        <v>2</v>
      </c>
      <c r="O19">
        <v>1</v>
      </c>
      <c r="P19">
        <v>1</v>
      </c>
      <c r="Q19">
        <v>1</v>
      </c>
      <c r="R19">
        <v>17.5</v>
      </c>
      <c r="S19" t="s">
        <v>66</v>
      </c>
      <c r="T19" t="s">
        <v>42</v>
      </c>
      <c r="U19" t="s">
        <v>18</v>
      </c>
      <c r="V19">
        <v>15</v>
      </c>
    </row>
    <row r="20" spans="1:22" x14ac:dyDescent="0.25">
      <c r="A20">
        <f t="shared" si="0"/>
        <v>15.862499999999999</v>
      </c>
      <c r="C20">
        <v>9</v>
      </c>
      <c r="D20">
        <f t="shared" si="1"/>
        <v>13</v>
      </c>
      <c r="E20">
        <v>1</v>
      </c>
      <c r="F20">
        <v>1</v>
      </c>
      <c r="G20">
        <v>1</v>
      </c>
      <c r="H20">
        <v>2</v>
      </c>
      <c r="I20">
        <v>0</v>
      </c>
      <c r="J20">
        <v>0</v>
      </c>
      <c r="K20">
        <v>2</v>
      </c>
      <c r="L20">
        <v>0.5</v>
      </c>
      <c r="M20">
        <v>0.5</v>
      </c>
      <c r="N20">
        <v>2</v>
      </c>
      <c r="O20">
        <v>1</v>
      </c>
      <c r="P20">
        <v>1</v>
      </c>
      <c r="Q20">
        <v>1</v>
      </c>
      <c r="R20">
        <v>18.5</v>
      </c>
      <c r="S20" t="s">
        <v>67</v>
      </c>
      <c r="T20" t="s">
        <v>43</v>
      </c>
      <c r="U20" t="s">
        <v>19</v>
      </c>
      <c r="V20">
        <v>16</v>
      </c>
    </row>
    <row r="21" spans="1:22" x14ac:dyDescent="0.25">
      <c r="A21">
        <f t="shared" si="0"/>
        <v>5.7424999999999997</v>
      </c>
      <c r="B21">
        <v>-2</v>
      </c>
      <c r="C21">
        <v>0</v>
      </c>
      <c r="D21">
        <f t="shared" si="1"/>
        <v>16.3</v>
      </c>
      <c r="E21">
        <v>1</v>
      </c>
      <c r="F21">
        <v>1</v>
      </c>
      <c r="G21">
        <v>1.5</v>
      </c>
      <c r="H21">
        <v>2</v>
      </c>
      <c r="I21">
        <v>0</v>
      </c>
      <c r="J21">
        <v>2</v>
      </c>
      <c r="K21">
        <v>2</v>
      </c>
      <c r="L21">
        <v>1</v>
      </c>
      <c r="M21">
        <v>1</v>
      </c>
      <c r="N21">
        <v>2</v>
      </c>
      <c r="O21">
        <v>1</v>
      </c>
      <c r="P21">
        <v>1</v>
      </c>
      <c r="Q21">
        <v>0.8</v>
      </c>
      <c r="R21" s="2">
        <v>0</v>
      </c>
      <c r="S21" t="s">
        <v>68</v>
      </c>
      <c r="T21" t="s">
        <v>44</v>
      </c>
      <c r="U21" t="s">
        <v>20</v>
      </c>
      <c r="V21">
        <v>17</v>
      </c>
    </row>
    <row r="22" spans="1:22" x14ac:dyDescent="0.25">
      <c r="A22">
        <f t="shared" si="0"/>
        <v>11.825000000000001</v>
      </c>
      <c r="C22">
        <v>9</v>
      </c>
      <c r="D22">
        <f t="shared" si="1"/>
        <v>7.5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2</v>
      </c>
      <c r="L22">
        <v>0.5</v>
      </c>
      <c r="M22">
        <v>0.5</v>
      </c>
      <c r="N22">
        <v>0</v>
      </c>
      <c r="O22">
        <v>1</v>
      </c>
      <c r="P22">
        <v>0</v>
      </c>
      <c r="Q22">
        <v>0.5</v>
      </c>
      <c r="R22">
        <v>15.5</v>
      </c>
      <c r="S22" t="s">
        <v>69</v>
      </c>
      <c r="T22" t="s">
        <v>45</v>
      </c>
      <c r="U22" t="s">
        <v>21</v>
      </c>
      <c r="V22">
        <v>18</v>
      </c>
    </row>
    <row r="23" spans="1:22" x14ac:dyDescent="0.25">
      <c r="A23">
        <f t="shared" si="0"/>
        <v>16.45</v>
      </c>
      <c r="C23">
        <v>3</v>
      </c>
      <c r="D23">
        <f t="shared" si="1"/>
        <v>18</v>
      </c>
      <c r="E23">
        <v>1</v>
      </c>
      <c r="F23">
        <v>1</v>
      </c>
      <c r="G23">
        <v>2</v>
      </c>
      <c r="H23">
        <v>1.5</v>
      </c>
      <c r="I23">
        <v>2</v>
      </c>
      <c r="J23">
        <v>2</v>
      </c>
      <c r="K23">
        <v>1</v>
      </c>
      <c r="L23">
        <v>1.5</v>
      </c>
      <c r="M23">
        <v>1</v>
      </c>
      <c r="N23">
        <v>2</v>
      </c>
      <c r="O23">
        <v>1</v>
      </c>
      <c r="P23">
        <v>1</v>
      </c>
      <c r="Q23">
        <v>1</v>
      </c>
      <c r="R23">
        <v>16</v>
      </c>
      <c r="S23" t="s">
        <v>70</v>
      </c>
      <c r="T23" t="s">
        <v>46</v>
      </c>
      <c r="U23" t="s">
        <v>22</v>
      </c>
      <c r="V23">
        <v>19</v>
      </c>
    </row>
    <row r="24" spans="1:22" x14ac:dyDescent="0.25">
      <c r="A24">
        <f t="shared" si="0"/>
        <v>18.712499999999999</v>
      </c>
      <c r="C24">
        <v>9</v>
      </c>
      <c r="D24">
        <f t="shared" si="1"/>
        <v>17.5</v>
      </c>
      <c r="E24">
        <v>1</v>
      </c>
      <c r="F24">
        <v>1</v>
      </c>
      <c r="G24">
        <v>2</v>
      </c>
      <c r="H24">
        <v>1</v>
      </c>
      <c r="I24">
        <v>1</v>
      </c>
      <c r="J24">
        <v>2</v>
      </c>
      <c r="K24">
        <v>2</v>
      </c>
      <c r="L24">
        <v>1.5</v>
      </c>
      <c r="M24">
        <v>1</v>
      </c>
      <c r="N24">
        <v>2</v>
      </c>
      <c r="O24">
        <v>1</v>
      </c>
      <c r="P24">
        <v>1</v>
      </c>
      <c r="Q24">
        <v>1</v>
      </c>
      <c r="R24">
        <v>20</v>
      </c>
      <c r="S24" t="s">
        <v>71</v>
      </c>
      <c r="T24" t="s">
        <v>47</v>
      </c>
      <c r="U24" t="s">
        <v>23</v>
      </c>
      <c r="V24">
        <v>20</v>
      </c>
    </row>
    <row r="25" spans="1:22" x14ac:dyDescent="0.25">
      <c r="A25">
        <f t="shared" si="0"/>
        <v>0</v>
      </c>
      <c r="D25">
        <f t="shared" si="1"/>
        <v>0</v>
      </c>
      <c r="S25" t="s">
        <v>72</v>
      </c>
      <c r="T25" t="s">
        <v>48</v>
      </c>
      <c r="U25" t="s">
        <v>24</v>
      </c>
      <c r="V25">
        <v>21</v>
      </c>
    </row>
    <row r="26" spans="1:22" x14ac:dyDescent="0.25">
      <c r="A26">
        <f t="shared" si="0"/>
        <v>18.575000000000003</v>
      </c>
      <c r="C26">
        <v>10</v>
      </c>
      <c r="D26">
        <f t="shared" si="1"/>
        <v>18</v>
      </c>
      <c r="E26">
        <v>1</v>
      </c>
      <c r="F26">
        <v>1</v>
      </c>
      <c r="G26">
        <v>2</v>
      </c>
      <c r="H26">
        <v>2</v>
      </c>
      <c r="I26">
        <v>0</v>
      </c>
      <c r="J26">
        <v>2</v>
      </c>
      <c r="K26">
        <v>2</v>
      </c>
      <c r="L26">
        <v>2</v>
      </c>
      <c r="M26">
        <v>1</v>
      </c>
      <c r="N26">
        <v>2</v>
      </c>
      <c r="O26">
        <v>1</v>
      </c>
      <c r="P26">
        <v>1</v>
      </c>
      <c r="Q26">
        <v>1</v>
      </c>
      <c r="R26">
        <v>19</v>
      </c>
      <c r="S26" t="s">
        <v>73</v>
      </c>
      <c r="T26" t="s">
        <v>49</v>
      </c>
      <c r="U26" t="s">
        <v>25</v>
      </c>
      <c r="V26">
        <v>22</v>
      </c>
    </row>
    <row r="27" spans="1:22" x14ac:dyDescent="0.25">
      <c r="A27">
        <f t="shared" si="0"/>
        <v>18.2425</v>
      </c>
      <c r="C27">
        <v>10</v>
      </c>
      <c r="D27">
        <f t="shared" si="1"/>
        <v>18.3</v>
      </c>
      <c r="E27">
        <v>1</v>
      </c>
      <c r="F27">
        <v>1</v>
      </c>
      <c r="G27">
        <v>2</v>
      </c>
      <c r="H27">
        <v>2</v>
      </c>
      <c r="I27">
        <v>2</v>
      </c>
      <c r="J27">
        <v>2</v>
      </c>
      <c r="K27">
        <v>1</v>
      </c>
      <c r="L27">
        <v>1.3</v>
      </c>
      <c r="M27">
        <v>1</v>
      </c>
      <c r="N27">
        <v>2</v>
      </c>
      <c r="O27">
        <v>1</v>
      </c>
      <c r="P27">
        <v>1</v>
      </c>
      <c r="Q27">
        <v>1</v>
      </c>
      <c r="R27">
        <v>18</v>
      </c>
      <c r="S27" t="s">
        <v>74</v>
      </c>
      <c r="T27" t="s">
        <v>50</v>
      </c>
      <c r="U27" t="s">
        <v>26</v>
      </c>
      <c r="V27">
        <v>23</v>
      </c>
    </row>
    <row r="28" spans="1:22" x14ac:dyDescent="0.25">
      <c r="A28">
        <f t="shared" si="0"/>
        <v>18.100000000000001</v>
      </c>
      <c r="C28">
        <v>10</v>
      </c>
      <c r="D28">
        <f t="shared" si="1"/>
        <v>18.5</v>
      </c>
      <c r="E28">
        <v>1</v>
      </c>
      <c r="F28">
        <v>1</v>
      </c>
      <c r="G28">
        <v>2</v>
      </c>
      <c r="H28">
        <v>2</v>
      </c>
      <c r="I28">
        <v>1.5</v>
      </c>
      <c r="J28">
        <v>1.5</v>
      </c>
      <c r="K28">
        <v>2</v>
      </c>
      <c r="L28">
        <v>1.5</v>
      </c>
      <c r="M28">
        <v>1</v>
      </c>
      <c r="N28">
        <v>2</v>
      </c>
      <c r="O28">
        <v>1</v>
      </c>
      <c r="P28">
        <v>1</v>
      </c>
      <c r="Q28">
        <v>1</v>
      </c>
      <c r="R28">
        <v>17.5</v>
      </c>
      <c r="S28" t="s">
        <v>75</v>
      </c>
      <c r="T28" t="s">
        <v>51</v>
      </c>
      <c r="U28" t="s">
        <v>27</v>
      </c>
      <c r="V28">
        <v>24</v>
      </c>
    </row>
    <row r="29" spans="1:22" x14ac:dyDescent="0.25">
      <c r="A29">
        <f t="shared" si="0"/>
        <v>20</v>
      </c>
      <c r="C29">
        <v>10</v>
      </c>
      <c r="D29">
        <f t="shared" si="1"/>
        <v>20</v>
      </c>
      <c r="E29">
        <v>1</v>
      </c>
      <c r="F29">
        <v>1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</v>
      </c>
      <c r="N29">
        <v>2</v>
      </c>
      <c r="O29">
        <v>1</v>
      </c>
      <c r="P29">
        <v>1</v>
      </c>
      <c r="Q29">
        <v>1</v>
      </c>
      <c r="R29">
        <v>20</v>
      </c>
      <c r="U29" t="s">
        <v>76</v>
      </c>
    </row>
    <row r="35" spans="19:19" x14ac:dyDescent="0.25">
      <c r="S35" t="s">
        <v>91</v>
      </c>
    </row>
    <row r="36" spans="19:19" x14ac:dyDescent="0.25">
      <c r="S36" t="s">
        <v>78</v>
      </c>
    </row>
    <row r="37" spans="19:19" x14ac:dyDescent="0.25">
      <c r="S37" t="s">
        <v>92</v>
      </c>
    </row>
    <row r="38" spans="19:19" x14ac:dyDescent="0.25">
      <c r="S38" t="s">
        <v>93</v>
      </c>
    </row>
    <row r="39" spans="19:19" x14ac:dyDescent="0.25">
      <c r="S39" t="s">
        <v>94</v>
      </c>
    </row>
    <row r="40" spans="19:19" x14ac:dyDescent="0.25">
      <c r="S40" t="s">
        <v>95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تحقیق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2022-10-14T14:18:59Z</dcterms:modified>
</cp:coreProperties>
</file>